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shboard" sheetId="1" state="visible" r:id="rId2"/>
    <sheet name="Sales Data" sheetId="2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<sst xmlns="http://schemas.openxmlformats.org/spreadsheetml/2006/main" count="142" uniqueCount="38">
  <si>
    <t xml:space="preserve">MIS Report Tracker</t>
  </si>
  <si>
    <t xml:space="preserve">Monthly Sales MIS — Free Template from DSTA Solutions</t>
  </si>
  <si>
    <t xml:space="preserve"/>
  </si>
  <si>
    <t xml:space="preserve">Total Revenue</t>
  </si>
  <si>
    <t xml:space="preserve">Total Orders</t>
  </si>
  <si>
    <t xml:space="preserve">Pending Orders</t>
  </si>
  <si>
    <t xml:space="preserve">Completed Orders</t>
  </si>
  <si>
    <t xml:space="preserve">Cancelled Orders</t>
  </si>
  <si>
    <t xml:space="preserve">How to use this template:</t>
  </si>
  <si>
    <t xml:space="preserve">1. Replace the sample data in the 'Sales Data' tab with your own data.</t>
  </si>
  <si>
    <t xml:space="preserve">2. The Dashboard tab updates automatically.</t>
  </si>
  <si>
    <t xml:space="preserve">3. Use the filters in the 'Sales Data' tab to slice by region, product, or month.</t>
  </si>
  <si>
    <t xml:space="preserve">4.Add your own KPIs by copying the formula pattern.</t>
  </si>
  <si>
    <t xml:space="preserve">Need help? Contact DSTA — Data Solutions for Smarter Business</t>
  </si>
  <si>
    <t xml:space="preserve">Order Date</t>
  </si>
  <si>
    <t xml:space="preserve">Customer</t>
  </si>
  <si>
    <t xml:space="preserve">Region</t>
  </si>
  <si>
    <t xml:space="preserve">Product</t>
  </si>
  <si>
    <t xml:space="preserve">Sales Amount</t>
  </si>
  <si>
    <t xml:space="preserve">Status</t>
  </si>
  <si>
    <t xml:space="preserve">Metro Supplies</t>
  </si>
  <si>
    <t xml:space="preserve">South</t>
  </si>
  <si>
    <t xml:space="preserve">Product B</t>
  </si>
  <si>
    <t xml:space="preserve">Pending</t>
  </si>
  <si>
    <t xml:space="preserve">Bluewave Corp</t>
  </si>
  <si>
    <t xml:space="preserve">East</t>
  </si>
  <si>
    <t xml:space="preserve">Completed</t>
  </si>
  <si>
    <t xml:space="preserve">Orbit Traders</t>
  </si>
  <si>
    <t xml:space="preserve">West</t>
  </si>
  <si>
    <t xml:space="preserve">Product A</t>
  </si>
  <si>
    <t xml:space="preserve">Vantage Group</t>
  </si>
  <si>
    <t xml:space="preserve">Xyz Pvt Ltd</t>
  </si>
  <si>
    <t xml:space="preserve">North</t>
  </si>
  <si>
    <t xml:space="preserve">Product C</t>
  </si>
  <si>
    <t xml:space="preserve">Cancelled</t>
  </si>
  <si>
    <t xml:space="preserve">Nexa Industries</t>
  </si>
  <si>
    <t xml:space="preserve">Qrs Limited</t>
  </si>
  <si>
    <t xml:space="preserve">Product D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</si>
</sst>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[$$-409]#,##0.00"/>
  </numFmts>
  <fonts count="5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</row>
    <row r="2" customFormat="false" ht="12.8" hidden="false" customHeight="false" outlineLevel="0" collapsed="false">
      <c r="A2" s="0" t="s">
        <v>1</v>
      </c>
    </row>
    <row r="3" customFormat="false" ht="12.8" hidden="false" customHeight="false" outlineLevel="0" collapsed="false">
      <c r="A3" s="0" t="s">
        <v>2</v>
      </c>
    </row>
    <row r="4" customFormat="false" ht="12.8" hidden="false" customHeight="false" outlineLevel="0" collapsed="false">
      <c r="A4" s="0" t="s">
        <v>3</v>
      </c>
    </row>
    <row r="5" customFormat="false" ht="12.8" hidden="false" customHeight="false" outlineLevel="0" collapsed="false">
      <c r="A5" s="0" t="n">
        <f aca="false">SUM(C2:C1001)</f>
        <v>0</v>
      </c>
    </row>
    <row r="6" customFormat="false" ht="12.8" hidden="false" customHeight="false" outlineLevel="0" collapsed="false">
      <c r="A6" s="0" t="s">
        <v>4</v>
      </c>
    </row>
    <row r="7" customFormat="false" ht="12.8" hidden="false" customHeight="false" outlineLevel="0" collapsed="false">
      <c r="A7" s="0" t="n">
        <f aca="false">COUNT(A2:A1001)</f>
        <v>4</v>
      </c>
    </row>
    <row r="8" customFormat="false" ht="12.8" hidden="false" customHeight="false" outlineLevel="0" collapsed="false">
      <c r="A8" s="0" t="s">
        <v>5</v>
      </c>
    </row>
    <row r="9" customFormat="false" ht="12.8" hidden="false" customHeight="false" outlineLevel="0" collapsed="false">
      <c r="A9" s="0" t="n">
        <f aca="false">COUNTIF(E2:E1001,"Pending")</f>
        <v>0</v>
      </c>
    </row>
    <row r="10" customFormat="false" ht="12.8" hidden="false" customHeight="false" outlineLevel="0" collapsed="false">
      <c r="A10" s="0" t="s">
        <v>6</v>
      </c>
    </row>
    <row r="11" customFormat="false" ht="12.8" hidden="false" customHeight="false" outlineLevel="0" collapsed="false">
      <c r="A11" s="0" t="n">
        <f aca="false">COUNTIF(E2:E1001,"Completed")</f>
        <v>0</v>
      </c>
    </row>
    <row r="12" customFormat="false" ht="12.8" hidden="false" customHeight="false" outlineLevel="0" collapsed="false">
      <c r="A12" s="0" t="s">
        <v>7</v>
      </c>
    </row>
    <row r="13" customFormat="false" ht="12.8" hidden="false" customHeight="false" outlineLevel="0" collapsed="false">
      <c r="A13" s="0" t="n">
        <f aca="false">COUNTIF(E2:E1001,"Cancelled")</f>
        <v>0</v>
      </c>
    </row>
    <row r="14" customFormat="false" ht="12.8" hidden="false" customHeight="false" outlineLevel="0" collapsed="false">
      <c r="A14" s="0" t="s">
        <v>2</v>
      </c>
    </row>
    <row r="15" customFormat="false" ht="12.8" hidden="false" customHeight="false" outlineLevel="0" collapsed="false">
      <c r="A15" s="0" t="s">
        <v>8</v>
      </c>
    </row>
    <row r="16" customFormat="false" ht="12.8" hidden="false" customHeight="false" outlineLevel="0" collapsed="false">
      <c r="A16" s="0" t="s">
        <v>9</v>
      </c>
    </row>
    <row r="17" customFormat="false" ht="12.8" hidden="false" customHeight="false" outlineLevel="0" collapsed="false">
      <c r="A17" s="0" t="s">
        <v>10</v>
      </c>
    </row>
    <row r="18" customFormat="false" ht="12.8" hidden="false" customHeight="false" outlineLevel="0" collapsed="false">
      <c r="A18" s="0" t="s">
        <v>11</v>
      </c>
    </row>
    <row r="19" customFormat="false" ht="12.8" hidden="false" customHeight="false" outlineLevel="0" collapsed="false">
      <c r="A19" s="0" t="s">
        <v>12</v>
      </c>
    </row>
    <row r="20" customFormat="false" ht="12.8" hidden="false" customHeight="false" outlineLevel="0" collapsed="false">
      <c r="A20" s="0" t="s">
        <v>2</v>
      </c>
    </row>
    <row r="21" customFormat="false" ht="12.8" hidden="false" customHeight="false" outlineLevel="0" collapsed="false">
      <c r="A21" s="0" t="s">
        <v>13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1" t="s">
        <v>14</v>
      </c>
      <c r="B1" s="1" t="s">
        <v>15</v>
      </c>
      <c r="C1" s="1" t="s">
        <v>16</v>
      </c>
      <c r="D1" s="1" t="s">
        <v>17</v>
      </c>
      <c r="E1" s="1" t="s">
        <v>18</v>
      </c>
      <c r="F1" s="1" t="s">
        <v>19</v>
      </c>
    </row>
    <row r="2" customFormat="false" ht="12.8" hidden="false" customHeight="false" outlineLevel="0" collapsed="false">
      <c r="A2" s="2" t="n">
        <v>45292</v>
      </c>
      <c r="B2" s="0" t="s">
        <v>20</v>
      </c>
      <c r="C2" s="0" t="s">
        <v>21</v>
      </c>
      <c r="D2" s="0" t="s">
        <v>22</v>
      </c>
      <c r="E2" s="3" t="n">
        <v>1537</v>
      </c>
      <c r="F2" s="0" t="s">
        <v>23</v>
      </c>
    </row>
    <row r="3" customFormat="false" ht="12.8" hidden="false" customHeight="false" outlineLevel="0" collapsed="false">
      <c r="A3" s="2" t="n">
        <v>45292</v>
      </c>
      <c r="B3" s="0" t="s">
        <v>24</v>
      </c>
      <c r="C3" s="0" t="s">
        <v>25</v>
      </c>
      <c r="D3" s="0" t="s">
        <v>22</v>
      </c>
      <c r="E3" s="3" t="n">
        <v>1528</v>
      </c>
      <c r="F3" s="0" t="s">
        <v>26</v>
      </c>
    </row>
    <row r="4" customFormat="false" ht="12.8" hidden="false" customHeight="false" outlineLevel="0" collapsed="false">
      <c r="A4" s="2" t="n">
        <v>45292</v>
      </c>
      <c r="B4" s="0" t="s">
        <v>27</v>
      </c>
      <c r="C4" s="0" t="s">
        <v>28</v>
      </c>
      <c r="D4" s="0" t="s">
        <v>29</v>
      </c>
      <c r="E4" s="3" t="n">
        <v>2997</v>
      </c>
      <c r="F4" s="0" t="s">
        <v>26</v>
      </c>
    </row>
    <row r="5" customFormat="false" ht="12.8" hidden="false" customHeight="false" outlineLevel="0" collapsed="false">
      <c r="A5" s="2" t="n">
        <v>45292</v>
      </c>
      <c r="B5" s="0" t="s">
        <v>30</v>
      </c>
      <c r="C5" s="0" t="s">
        <v>28</v>
      </c>
      <c r="D5" s="0" t="s">
        <v>22</v>
      </c>
      <c r="E5" s="3" t="n">
        <v>1203</v>
      </c>
      <c r="F5" s="0" t="s">
        <v>26</v>
      </c>
    </row>
    <row r="6" customFormat="false" ht="12.8" hidden="false" customHeight="false" outlineLevel="0" collapsed="false">
      <c r="A6" s="2" t="n">
        <v>45292</v>
      </c>
      <c r="B6" s="0" t="s">
        <v>31</v>
      </c>
      <c r="C6" s="0" t="s">
        <v>28</v>
      </c>
      <c r="D6" s="0" t="s">
        <v>29</v>
      </c>
      <c r="E6" s="3" t="n">
        <v>3035</v>
      </c>
      <c r="F6" s="0" t="s">
        <v>23</v>
      </c>
    </row>
    <row r="7" customFormat="false" ht="12.8" hidden="false" customHeight="false" outlineLevel="0" collapsed="false">
      <c r="A7" s="2" t="n">
        <v>45292</v>
      </c>
      <c r="B7" s="0" t="s">
        <v>27</v>
      </c>
      <c r="C7" s="0" t="s">
        <v>32</v>
      </c>
      <c r="D7" s="0" t="s">
        <v>29</v>
      </c>
      <c r="E7" s="3" t="n">
        <v>1530</v>
      </c>
      <c r="F7" s="0" t="s">
        <v>26</v>
      </c>
    </row>
    <row r="8" customFormat="false" ht="12.8" hidden="false" customHeight="false" outlineLevel="0" collapsed="false">
      <c r="A8" s="2" t="n">
        <v>45292</v>
      </c>
      <c r="B8" s="0" t="s">
        <v>30</v>
      </c>
      <c r="C8" s="0" t="s">
        <v>32</v>
      </c>
      <c r="D8" s="0" t="s">
        <v>33</v>
      </c>
      <c r="E8" s="3" t="n">
        <v>2979</v>
      </c>
      <c r="F8" s="0" t="s">
        <v>34</v>
      </c>
    </row>
    <row r="9" customFormat="false" ht="12.8" hidden="false" customHeight="false" outlineLevel="0" collapsed="false">
      <c r="A9" s="2" t="n">
        <v>45292</v>
      </c>
      <c r="B9" s="0" t="s">
        <v>35</v>
      </c>
      <c r="C9" s="0" t="s">
        <v>25</v>
      </c>
      <c r="D9" s="0" t="s">
        <v>22</v>
      </c>
      <c r="E9" s="3" t="n">
        <v>511</v>
      </c>
      <c r="F9" s="0" t="s">
        <v>34</v>
      </c>
    </row>
    <row r="10" customFormat="false" ht="12.8" hidden="false" customHeight="false" outlineLevel="0" collapsed="false">
      <c r="A10" s="2" t="n">
        <v>45292</v>
      </c>
      <c r="B10" s="0" t="s">
        <v>27</v>
      </c>
      <c r="C10" s="0" t="s">
        <v>32</v>
      </c>
      <c r="D10" s="0" t="s">
        <v>33</v>
      </c>
      <c r="E10" s="3" t="n">
        <v>1257</v>
      </c>
      <c r="F10" s="0" t="s">
        <v>26</v>
      </c>
    </row>
    <row r="11" customFormat="false" ht="12.8" hidden="false" customHeight="false" outlineLevel="0" collapsed="false">
      <c r="A11" s="2" t="n">
        <v>45292</v>
      </c>
      <c r="B11" s="0" t="s">
        <v>36</v>
      </c>
      <c r="C11" s="0" t="s">
        <v>32</v>
      </c>
      <c r="D11" s="0" t="s">
        <v>37</v>
      </c>
      <c r="E11" s="3" t="n">
        <v>1804</v>
      </c>
      <c r="F11" s="0" t="s">
        <v>26</v>
      </c>
    </row>
    <row r="12" customFormat="false" ht="12.8" hidden="false" customHeight="false" outlineLevel="0" collapsed="false">
      <c r="A12" s="2" t="n">
        <v>45323</v>
      </c>
      <c r="B12" s="0" t="s">
        <v>20</v>
      </c>
      <c r="C12" s="0" t="s">
        <v>21</v>
      </c>
      <c r="D12" s="0" t="s">
        <v>29</v>
      </c>
      <c r="E12" s="3" t="n">
        <v>2100</v>
      </c>
      <c r="F12" s="0" t="s">
        <v>26</v>
      </c>
    </row>
    <row r="13" customFormat="false" ht="12.8" hidden="false" customHeight="false" outlineLevel="0" collapsed="false">
      <c r="A13" s="2" t="n">
        <v>45323</v>
      </c>
      <c r="B13" s="0" t="s">
        <v>24</v>
      </c>
      <c r="C13" s="0" t="s">
        <v>25</v>
      </c>
      <c r="D13" s="0" t="s">
        <v>33</v>
      </c>
      <c r="E13" s="3" t="n">
        <v>1850</v>
      </c>
      <c r="F13" s="0" t="s">
        <v>23</v>
      </c>
    </row>
    <row r="14" customFormat="false" ht="12.8" hidden="false" customHeight="false" outlineLevel="0" collapsed="false">
      <c r="A14" s="2" t="n">
        <v>45323</v>
      </c>
      <c r="B14" s="0" t="s">
        <v>27</v>
      </c>
      <c r="C14" s="0" t="s">
        <v>28</v>
      </c>
      <c r="D14" s="0" t="s">
        <v>22</v>
      </c>
      <c r="E14" s="3" t="n">
        <v>2400</v>
      </c>
      <c r="F14" s="0" t="s">
        <v>26</v>
      </c>
    </row>
    <row r="15" customFormat="false" ht="12.8" hidden="false" customHeight="false" outlineLevel="0" collapsed="false">
      <c r="A15" s="2" t="n">
        <v>45323</v>
      </c>
      <c r="B15" s="0" t="s">
        <v>30</v>
      </c>
      <c r="C15" s="0" t="s">
        <v>28</v>
      </c>
      <c r="D15" s="0" t="s">
        <v>37</v>
      </c>
      <c r="E15" s="3" t="n">
        <v>1750</v>
      </c>
      <c r="F15" s="0" t="s">
        <v>26</v>
      </c>
    </row>
    <row r="16" customFormat="false" ht="12.8" hidden="false" customHeight="false" outlineLevel="0" collapsed="false">
      <c r="A16" s="2" t="n">
        <v>45323</v>
      </c>
      <c r="B16" s="0" t="s">
        <v>31</v>
      </c>
      <c r="C16" s="0" t="s">
        <v>28</v>
      </c>
      <c r="D16" s="0" t="s">
        <v>33</v>
      </c>
      <c r="E16" s="3" t="n">
        <v>2200</v>
      </c>
      <c r="F16" s="0" t="s">
        <v>23</v>
      </c>
    </row>
    <row r="17" customFormat="false" ht="12.8" hidden="false" customHeight="false" outlineLevel="0" collapsed="false">
      <c r="A17" s="2" t="n">
        <v>45323</v>
      </c>
      <c r="B17" s="0" t="s">
        <v>27</v>
      </c>
      <c r="C17" s="0" t="s">
        <v>32</v>
      </c>
      <c r="D17" s="0" t="s">
        <v>22</v>
      </c>
      <c r="E17" s="3" t="n">
        <v>1900</v>
      </c>
      <c r="F17" s="0" t="s">
        <v>26</v>
      </c>
    </row>
    <row r="18" customFormat="false" ht="12.8" hidden="false" customHeight="false" outlineLevel="0" collapsed="false">
      <c r="A18" s="2" t="n">
        <v>45323</v>
      </c>
      <c r="B18" s="0" t="s">
        <v>30</v>
      </c>
      <c r="C18" s="0" t="s">
        <v>32</v>
      </c>
      <c r="D18" s="0" t="s">
        <v>29</v>
      </c>
      <c r="E18" s="3" t="n">
        <v>1650</v>
      </c>
      <c r="F18" s="0" t="s">
        <v>34</v>
      </c>
    </row>
    <row r="19" customFormat="false" ht="12.8" hidden="false" customHeight="false" outlineLevel="0" collapsed="false">
      <c r="A19" s="2" t="n">
        <v>45323</v>
      </c>
      <c r="B19" s="0" t="s">
        <v>35</v>
      </c>
      <c r="C19" s="0" t="s">
        <v>25</v>
      </c>
      <c r="D19" s="0" t="s">
        <v>37</v>
      </c>
      <c r="E19" s="3" t="n">
        <v>1200</v>
      </c>
      <c r="F19" s="0" t="s">
        <v>26</v>
      </c>
    </row>
    <row r="20" customFormat="false" ht="12.8" hidden="false" customHeight="false" outlineLevel="0" collapsed="false">
      <c r="A20" s="2" t="n">
        <v>45323</v>
      </c>
      <c r="B20" s="0" t="s">
        <v>27</v>
      </c>
      <c r="C20" s="0" t="s">
        <v>32</v>
      </c>
      <c r="D20" s="0" t="s">
        <v>37</v>
      </c>
      <c r="E20" s="3" t="n">
        <v>1980</v>
      </c>
      <c r="F20" s="0" t="s">
        <v>26</v>
      </c>
    </row>
    <row r="21" customFormat="false" ht="12.8" hidden="false" customHeight="false" outlineLevel="0" collapsed="false">
      <c r="A21" s="2" t="n">
        <v>45323</v>
      </c>
      <c r="B21" s="0" t="s">
        <v>36</v>
      </c>
      <c r="C21" s="0" t="s">
        <v>32</v>
      </c>
      <c r="D21" s="0" t="s">
        <v>22</v>
      </c>
      <c r="E21" s="3" t="n">
        <v>2100</v>
      </c>
      <c r="F21" s="0" t="s">
        <v>26</v>
      </c>
    </row>
    <row r="22" customFormat="false" ht="12.8" hidden="false" customHeight="false" outlineLevel="0" collapsed="false">
      <c r="A22" s="2" t="n">
        <v>45352</v>
      </c>
      <c r="B22" s="0" t="s">
        <v>20</v>
      </c>
      <c r="C22" s="0" t="s">
        <v>21</v>
      </c>
      <c r="D22" s="0" t="s">
        <v>22</v>
      </c>
      <c r="E22" s="3" t="n">
        <v>1700</v>
      </c>
      <c r="F22" s="0" t="s">
        <v>26</v>
      </c>
    </row>
    <row r="23" customFormat="false" ht="12.8" hidden="false" customHeight="false" outlineLevel="0" collapsed="false">
      <c r="A23" s="2" t="n">
        <v>45352</v>
      </c>
      <c r="B23" s="0" t="s">
        <v>24</v>
      </c>
      <c r="C23" s="0" t="s">
        <v>25</v>
      </c>
      <c r="D23" s="0" t="s">
        <v>29</v>
      </c>
      <c r="E23" s="3" t="n">
        <v>1950</v>
      </c>
      <c r="F23" s="0" t="s">
        <v>23</v>
      </c>
    </row>
    <row r="24" customFormat="false" ht="12.8" hidden="false" customHeight="false" outlineLevel="0" collapsed="false">
      <c r="A24" s="2" t="n">
        <v>45352</v>
      </c>
      <c r="B24" s="0" t="s">
        <v>27</v>
      </c>
      <c r="C24" s="0" t="s">
        <v>28</v>
      </c>
      <c r="D24" s="0" t="s">
        <v>33</v>
      </c>
      <c r="E24" s="3" t="n">
        <v>2600</v>
      </c>
      <c r="F24" s="0" t="s">
        <v>26</v>
      </c>
    </row>
    <row r="25" customFormat="false" ht="12.8" hidden="false" customHeight="false" outlineLevel="0" collapsed="false">
      <c r="A25" s="2" t="n">
        <v>45352</v>
      </c>
      <c r="B25" s="0" t="s">
        <v>30</v>
      </c>
      <c r="C25" s="0" t="s">
        <v>28</v>
      </c>
      <c r="D25" s="0" t="s">
        <v>29</v>
      </c>
      <c r="E25" s="3" t="n">
        <v>1850</v>
      </c>
      <c r="F25" s="0" t="s">
        <v>26</v>
      </c>
    </row>
    <row r="26" customFormat="false" ht="12.8" hidden="false" customHeight="false" outlineLevel="0" collapsed="false">
      <c r="A26" s="2" t="n">
        <v>45352</v>
      </c>
      <c r="B26" s="0" t="s">
        <v>31</v>
      </c>
      <c r="C26" s="0" t="s">
        <v>28</v>
      </c>
      <c r="D26" s="0" t="s">
        <v>22</v>
      </c>
      <c r="E26" s="3" t="n">
        <v>2400</v>
      </c>
      <c r="F26" s="0" t="s">
        <v>23</v>
      </c>
    </row>
    <row r="27" customFormat="false" ht="12.8" hidden="false" customHeight="false" outlineLevel="0" collapsed="false">
      <c r="A27" s="2" t="n">
        <v>45352</v>
      </c>
      <c r="B27" s="0" t="s">
        <v>27</v>
      </c>
      <c r="C27" s="0" t="s">
        <v>32</v>
      </c>
      <c r="D27" s="0" t="s">
        <v>33</v>
      </c>
      <c r="E27" s="3" t="n">
        <v>1750</v>
      </c>
      <c r="F27" s="0" t="s">
        <v>26</v>
      </c>
    </row>
    <row r="28" customFormat="false" ht="12.8" hidden="false" customHeight="false" outlineLevel="0" collapsed="false">
      <c r="A28" s="2" t="n">
        <v>45352</v>
      </c>
      <c r="B28" s="0" t="s">
        <v>30</v>
      </c>
      <c r="C28" s="0" t="s">
        <v>32</v>
      </c>
      <c r="D28" s="0" t="s">
        <v>22</v>
      </c>
      <c r="E28" s="3" t="n">
        <v>1550</v>
      </c>
      <c r="F28" s="0" t="s">
        <v>34</v>
      </c>
    </row>
    <row r="29" customFormat="false" ht="12.8" hidden="false" customHeight="false" outlineLevel="0" collapsed="false">
      <c r="A29" s="2" t="n">
        <v>45352</v>
      </c>
      <c r="B29" s="0" t="s">
        <v>35</v>
      </c>
      <c r="C29" s="0" t="s">
        <v>25</v>
      </c>
      <c r="D29" s="0" t="s">
        <v>29</v>
      </c>
      <c r="E29" s="3" t="n">
        <v>1350</v>
      </c>
      <c r="F29" s="0" t="s">
        <v>26</v>
      </c>
    </row>
    <row r="30" customFormat="false" ht="12.8" hidden="false" customHeight="false" outlineLevel="0" collapsed="false">
      <c r="A30" s="2" t="n">
        <v>45352</v>
      </c>
      <c r="B30" s="0" t="s">
        <v>27</v>
      </c>
      <c r="C30" s="0" t="s">
        <v>32</v>
      </c>
      <c r="D30" s="0" t="s">
        <v>29</v>
      </c>
      <c r="E30" s="3" t="n">
        <v>2100</v>
      </c>
      <c r="F30" s="0" t="s">
        <v>26</v>
      </c>
    </row>
    <row r="31" customFormat="false" ht="12.8" hidden="false" customHeight="false" outlineLevel="0" collapsed="false">
      <c r="A31" s="2" t="n">
        <v>45352</v>
      </c>
      <c r="B31" s="0" t="s">
        <v>36</v>
      </c>
      <c r="C31" s="0" t="s">
        <v>32</v>
      </c>
      <c r="D31" s="0" t="s">
        <v>33</v>
      </c>
      <c r="E31" s="3" t="n">
        <v>1900</v>
      </c>
      <c r="F31" s="0" t="s">
        <v>26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cp:revision>0</cp:revision>
  <dc:subject/>
  <dc:title/>
</cp:coreProperties>
</file>